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valenzuela\Desktop\COMEX-TOTUS\"/>
    </mc:Choice>
  </mc:AlternateContent>
  <xr:revisionPtr revIDLastSave="0" documentId="13_ncr:1_{5EFDC479-618F-4FF2-8A02-D5009DD08AFC}" xr6:coauthVersionLast="45" xr6:coauthVersionMax="45" xr10:uidLastSave="{00000000-0000-0000-0000-000000000000}"/>
  <bookViews>
    <workbookView xWindow="-120" yWindow="-120" windowWidth="20730" windowHeight="11160" xr2:uid="{D3AE8648-3B59-482E-BFDD-2ECEA0E29E5C}"/>
  </bookViews>
  <sheets>
    <sheet name="Hoja2" sheetId="2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B7BA4-4995-46E7-AF15-FFC5AE71E5BF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  <connection id="2" xr16:uid="{5004BA6C-3742-442D-AE70-180649990306}" keepAlive="1" name="Consulta - Consulta1 (2)" description="Conexión a la consulta 'Consulta1 (2)' en el libro." type="5" refreshedVersion="6" background="1">
    <dbPr connection="Provider=Microsoft.Mashup.OleDb.1;Data Source=$Workbook$;Location=Consulta1 (2);Extended Properties=&quot;&quot;" command="SELECT * FROM [Consulta1 (2)]"/>
  </connection>
</connections>
</file>

<file path=xl/sharedStrings.xml><?xml version="1.0" encoding="utf-8"?>
<sst xmlns="http://schemas.openxmlformats.org/spreadsheetml/2006/main" count="55" uniqueCount="40">
  <si>
    <t>DBA_FILIAL</t>
  </si>
  <si>
    <t>DBB_EMISSA</t>
  </si>
  <si>
    <t>DBB_ANMES</t>
  </si>
  <si>
    <t>A2_NOME</t>
  </si>
  <si>
    <t>A2_UCODFAB</t>
  </si>
  <si>
    <t>DBB_DOC</t>
  </si>
  <si>
    <t>DBB_EMISSA2</t>
  </si>
  <si>
    <t>DBD_DESCR</t>
  </si>
  <si>
    <t xml:space="preserve">BRASIL                   </t>
  </si>
  <si>
    <t>(Todas)</t>
  </si>
  <si>
    <t>PFZ</t>
  </si>
  <si>
    <t>DBA_HAWB</t>
  </si>
  <si>
    <t>(en blanco)</t>
  </si>
  <si>
    <t>Suma de VALTOT</t>
  </si>
  <si>
    <t>Suma de GASTO</t>
  </si>
  <si>
    <t>Valores</t>
  </si>
  <si>
    <t>Suma de VALFLE</t>
  </si>
  <si>
    <t>Suma de VALMER</t>
  </si>
  <si>
    <t>Suma de VALSEG</t>
  </si>
  <si>
    <t>Total general</t>
  </si>
  <si>
    <t>20190916</t>
  </si>
  <si>
    <t>20190830</t>
  </si>
  <si>
    <t>20190918</t>
  </si>
  <si>
    <t xml:space="preserve">151/19/A         </t>
  </si>
  <si>
    <t xml:space="preserve">ZOETIS BELGIUM SA                                                                     </t>
  </si>
  <si>
    <t xml:space="preserve">5700189562        </t>
  </si>
  <si>
    <t xml:space="preserve">ARGENTINA                </t>
  </si>
  <si>
    <t xml:space="preserve">151/19/B         </t>
  </si>
  <si>
    <t xml:space="preserve">5700189841        </t>
  </si>
  <si>
    <t>20190818</t>
  </si>
  <si>
    <t xml:space="preserve">5700189837/9839   </t>
  </si>
  <si>
    <t xml:space="preserve">5700189842        </t>
  </si>
  <si>
    <t xml:space="preserve">172/19/A         </t>
  </si>
  <si>
    <t xml:space="preserve">5700187990        </t>
  </si>
  <si>
    <t xml:space="preserve">180/19/A         </t>
  </si>
  <si>
    <t xml:space="preserve">5700188002        </t>
  </si>
  <si>
    <t xml:space="preserve">199/19/A         </t>
  </si>
  <si>
    <t xml:space="preserve">5700190275        </t>
  </si>
  <si>
    <t>20190923</t>
  </si>
  <si>
    <t xml:space="preserve">ESTADOS UNIDOS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</si>
</sst>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2" borderId="0" xfId="0" applyNumberFormat="1" applyFill="1"/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iree Valenzuela" refreshedDate="43756.366663773151" backgroundQuery="1" createdVersion="6" refreshedVersion="6" minRefreshableVersion="3" recordCount="62" xr:uid="{449DC0C7-7AE4-4BFD-9C12-9A9D2E08005E}">
  <cacheSource type="external" connectionId="2"/>
  <cacheFields count="15">
    <cacheField name="DBA_HAWB" numFmtId="0">
      <sharedItems count="90">
        <s v="033/19/B         "/>
        <s v="045/19/C         "/>
        <s v="046/19/C         "/>
        <s v="046/19/D         "/>
        <s v="073/19/A         "/>
        <s v="079/19/A         "/>
        <s v="092/19/A         "/>
        <s v="099/19/A         "/>
        <s v="104/19/C         "/>
        <s v="104/19/D         "/>
        <s v="105/19/B         "/>
        <s v="105/19/D         "/>
        <s v="105/19/E         "/>
        <s v="105/19/F         "/>
        <s v="111/19/A         "/>
        <s v="115/19/A         "/>
        <s v="116/19/B         "/>
        <s v="117/19/A         "/>
        <s v="120/19/A         "/>
        <s v="122/19/A         "/>
        <s v="123/19/A         "/>
        <s v="125/19/A         "/>
        <s v="126/19/B         "/>
        <s v="131/19/A         "/>
        <s v="134/19/A         "/>
        <s v="135/19/A         "/>
        <s v="141/19/A         "/>
        <s v="142/19/A         "/>
        <s v="148/19/A         "/>
        <s v="149/19/A         "/>
        <s v="151/19/A         "/>
        <s v="151/19/B         "/>
        <s v="158/19/A         "/>
        <s v="161/19/A         "/>
        <s v="162/19/A         "/>
        <s v="163/19/A         "/>
        <s v="165/19/A         "/>
        <s v="167/19/A         "/>
        <s v="167/19/B         "/>
        <s v="169/19/A         "/>
        <s v="171/19/A         "/>
        <s v="172/19/A         "/>
        <s v="176/19/A         "/>
        <s v="179/19/A         "/>
        <s v="180/19/A         "/>
        <s v="195/19/A         "/>
        <s v="196/19/A         "/>
        <s v="199/19/A         "/>
        <s v="207/19/A         "/>
        <s v="83/19/A          "/>
        <s v="077/19/B         " u="1"/>
        <s v="00000000000000018" u="1"/>
        <s v="00000000000000034" u="1"/>
        <s v="00000000000000017" u="1"/>
        <s v="00000000000000033" u="1"/>
        <s v="00000000000000016" u="1"/>
        <s v="00000000000000032" u="1"/>
        <s v="00000000000000015" u="1"/>
        <s v="00000000000000046" u="1"/>
        <s v="00000000000000031" u="1"/>
        <s v="00000000000000029" u="1"/>
        <s v="00000000000000014" u="1"/>
        <s v="00000000000000030" u="1"/>
        <s v="00000000000000028" u="1"/>
        <s v="00000000000000013" u="1"/>
        <s v="00000000000000012" u="1"/>
        <s v="048/19/A         " u="1"/>
        <s v="00000000000000043" u="1"/>
        <s v="00000000000000011" u="1"/>
        <s v="00000000000000009" u="1"/>
        <s v="00000000000000042" u="1"/>
        <s v="OC 039/19/A      " u="1"/>
        <s v="00000000000000010" u="1"/>
        <s v="039/19/A         " u="1"/>
        <s v="113/19/A         " u="1"/>
        <s v="OC01320190A000003" u="1"/>
        <s v="00000000000000008" u="1"/>
        <s v="00000000000000041" u="1"/>
        <s v="OC/077/19/A      " u="1"/>
        <s v="00000000000000039" u="1"/>
        <s v="00000000000000024" u="1"/>
        <s v="OC/077/19/B      " u="1"/>
        <s v="00000000000000038" u="1"/>
        <s v="00000000000000023" u="1"/>
        <s v="00000000000000037" u="1"/>
        <s v="OC/132/19/A      " u="1"/>
        <s v="00000000000000036" u="1"/>
        <s v="00000000000000021" u="1"/>
        <s v="00000000000000019" u="1"/>
        <s v="00000000000000035" u="1"/>
      </sharedItems>
    </cacheField>
    <cacheField name="DBA_FILIAL" numFmtId="0">
      <sharedItems count="1">
        <s v="0105"/>
      </sharedItems>
    </cacheField>
    <cacheField name="DBB_EMISSA" numFmtId="0">
      <sharedItems containsSemiMixedTypes="0" containsString="0" containsNumber="1" containsInteger="1" minValue="2019" maxValue="2019" count="1">
        <n v="2019"/>
      </sharedItems>
    </cacheField>
    <cacheField name="DBB_ANMES" numFmtId="0">
      <sharedItems count="9">
        <s v="201909"/>
        <s v="201906"/>
        <s v="201907"/>
        <s v="201908"/>
        <s v="201905"/>
        <s v="201901" u="1"/>
        <s v="201902" u="1"/>
        <s v="201903" u="1"/>
        <s v="201904" u="1"/>
      </sharedItems>
    </cacheField>
    <cacheField name="DBB_FORNEC" numFmtId="0">
      <sharedItems/>
    </cacheField>
    <cacheField name="A2_NOME" numFmtId="0">
      <sharedItems count="51">
        <s v="BROUWER SA                                                                            "/>
        <s v="SUQIAN JIAKANG TRADING CO. LTD                                                        "/>
        <s v="LABORATORIOS CALIER SA                                                                "/>
        <s v="ROLF C. HAGEN INC.                                                                    "/>
        <s v="CEVA SANTE ANIMALE                                                                    "/>
        <s v="BIOTECNICA SRL                                                                        "/>
        <s v="LABORATORIO BRAVET LTDA.                                                              "/>
        <s v="GERMIPASTO IND. COM. IMPT. EXPT                                                       "/>
        <s v="SEMENTES OESTE PAULISTA IMPORT EXPORT                                                 "/>
        <s v="GENIA S.A.                                                                            "/>
        <s v="SEMILLAS PAPALOTLA S.A. DE C.V.                                                       "/>
        <s v="JAMES BROWN PHARMA C.A.                                                               "/>
        <s v="INTERMAN CORPORATION LTD                                                              "/>
        <s v="LABORATORIOS MICROSULES URUGUAY S.A.                                                  "/>
        <s v="CHR HANSEN CENTROAMERICA SA                                                           "/>
        <s v="MERCK SHARP &amp; DOHME SAUDE ANIMAL LTDA.                                                "/>
        <s v="TRU TEST LTD BR                                                                       "/>
        <s v="QUIMTIA SA.                                                                           "/>
        <s v="FATRO VON FRANKEN S.A.I.C                                                             "/>
        <s v="ALLFLEX SISTEMA DE IDENTIFICACION ANIMAL                                              "/>
        <s v="FARVIG SRL                                                                            "/>
        <s v="ZOETIS BELGIUM SA                                                                     "/>
        <s v="ASOC.DE COOPERATIVAS ARGENTINAS COOP LTD                                              "/>
        <s v="PRODUQUIMICA IND E COM S.A                                                            "/>
        <s v="SAFRASHOCK INDUSTRIA COM.ARTIGOS PARA CERCAS ELETRICAS LTDA                           "/>
        <s v="DE HEUS INDUSTRIA E COMERCIO DE NUTRICAO                                              "/>
        <s v="ROYAL CANIN SAS                                                                       "/>
        <s v="PRODUCTOS VETERINARIOS SA                                                             "/>
        <s v="PAGANO SA                                                                             "/>
        <s v="BRA INDUSTRIA E COMERCIO DE BALANZAS EIR                                              "/>
        <s v="APARELHOS VETERINARIOS HOPPNER LTDA.                                                  "/>
        <s v="ICC INDL. COM. EXP. E IMP. LTDA                                                       "/>
        <s v="HEBEI HONDE INDUSTRIAL TRADE IMP. EXP. C                                              "/>
        <s v="ZOETIS BELGIUM SA                                                                                   " u="1"/>
        <s v="CHR HANSEN CENTROAMERICA SA                                                                         " u="1"/>
        <s v="COMPASS MINERALS AMERICA DO SUL INDUSTRI                                                            " u="1"/>
        <s v="SAFEEDS NUTRICION ANIMAL LTDA                                                                       " u="1"/>
        <s v="RETANA TRANSAMERICA S.A.                                                                            " u="1"/>
        <s v="PRODUQUIMICA IND E COM S.A                                                                          " u="1"/>
        <s v="BIOVET                                                                                              " u="1"/>
        <s v="ALLFLEX SISTEMA DE IDENTIFICACION ANIMAL                                                            " u="1"/>
        <s v="ALFASAN INTERNATIONAL B.V.                                                                          " u="1"/>
        <s v="MESACE                                                                                              " u="1"/>
        <s v="JAMES BROWN PHARMA C.A.                                                                             " u="1"/>
        <s v="MAQUINAS AGRICOLAS JACTO SA                                                                         " u="1"/>
        <s v="AMAZON EXPORT SALES LLC                                                                             " u="1"/>
        <s v="SEMENTES OESTE PAULISTA IMPORT EXPORT                                                               " u="1"/>
        <s v="LABORATORIOS AGRO INSUMOS SA                                                                        " u="1"/>
        <s v="LABORATORIOS CALIER SA                                                                              " u="1"/>
        <s v="LABORATORIOS MICROSULES URUGUAY S.A.                                                                " u="1"/>
        <s v="DE HEUS INDUSTRIA E COMERCIO DE NUTRICAO                                                            " u="1"/>
      </sharedItems>
    </cacheField>
    <cacheField name="A2_UCODFAB" numFmtId="0">
      <sharedItems count="29">
        <s v="BRW"/>
        <s v="UNI"/>
        <s v="CLR"/>
        <s v="GAL"/>
        <s v="BRV"/>
        <s v="SOE"/>
        <s v="LJB"/>
        <s v="MCS"/>
        <s v="CHR"/>
        <s v="TRU"/>
        <s v="ISP"/>
        <s v="VFK"/>
        <s v="AFX"/>
        <s v="FVG"/>
        <s v="PFZ"/>
        <s v="ACA"/>
        <s v="DHB"/>
        <s v="ZOO"/>
        <s v="SMG"/>
        <s v="HOP"/>
        <s v="ICC"/>
        <s v="HND"/>
        <s v="JAC" u="1"/>
        <s v="ALF" u="1"/>
        <s v="CDV" u="1"/>
        <s v="SFD" u="1"/>
        <s v="AGI" u="1"/>
        <s v="VAR" u="1"/>
        <s v="XXX" u="1"/>
      </sharedItems>
    </cacheField>
    <cacheField name="DBB_DOC" numFmtId="0">
      <sharedItems count="109">
        <s v="1228              "/>
        <s v="19061201          "/>
        <s v="70001821          "/>
        <s v="70001825          "/>
        <s v="3288690           "/>
        <s v="3294666           "/>
        <s v="3297791           "/>
        <s v="19009853RI        "/>
        <s v="20703             "/>
        <s v="20704             "/>
        <s v="20705             "/>
        <s v="003/19 BO         "/>
        <s v="1033/2019         "/>
        <s v="1034/2019         "/>
        <s v="564/2019          "/>
        <s v="565/2019          "/>
        <s v="566/2019          "/>
        <s v="594/2019          "/>
        <s v="1907100028        "/>
        <s v="5520              "/>
        <s v="144858            "/>
        <s v="INE0084E19        "/>
        <s v="2900              "/>
        <s v="2901              "/>
        <s v="2902              "/>
        <s v="2903              "/>
        <s v="122597103         "/>
        <s v="122595950         "/>
        <s v="EXI-140/19        "/>
        <s v="297               "/>
        <s v="103-19616         "/>
        <s v="103-19617         "/>
        <s v="103-19618         "/>
        <s v="3-646             "/>
        <s v="3302518           "/>
        <s v="1225              "/>
        <s v="3031              "/>
        <s v="3032              "/>
        <s v="P.19-242          "/>
        <s v="7-163             "/>
        <s v="5700189562        "/>
        <s v="5700189841        "/>
        <s v="5700189837/9839   "/>
        <s v="5700189842        "/>
        <s v="004/19BO          "/>
        <s v="610-3821          "/>
        <s v="95/2019           "/>
        <s v="3-647             "/>
        <s v="002/2019          "/>
        <s v="041-BLV           "/>
        <s v="042-BLV           "/>
        <s v="100399610         "/>
        <s v="27-1155           "/>
        <s v="5700187990        "/>
        <s v="8-225             "/>
        <s v="377/2019          "/>
        <s v="5700188002        "/>
        <s v="09/19             "/>
        <s v="102508            "/>
        <s v="5700190275        "/>
        <s v="19091801          "/>
        <s v="OC19E091          "/>
        <s v="5555         " u="1"/>
        <s v="13-BLV.      " u="1"/>
        <s v="06062019-0002     " u="1"/>
        <s v="8459         " u="1"/>
        <s v="06062019-0001     " u="1"/>
        <s v="2476         " u="1"/>
        <s v="7-19              " u="1"/>
        <s v="04062019-0003" u="1"/>
        <s v="144802       " u="1"/>
        <s v="04062019-0002" u="1"/>
        <s v="122577705    " u="1"/>
        <s v="04062019-0001" u="1"/>
        <s v="1225862           " u="1"/>
        <s v="122586296         " u="1"/>
        <s v="11115        " u="1"/>
        <s v="4444         " u="1"/>
        <s v="P.19-136/155 " u="1"/>
        <s v="6784         " u="1"/>
        <s v="29072019-0001     " u="1"/>
        <s v="22072019-0001     " u="1"/>
        <s v="39/2019      " u="1"/>
        <s v="1-674        " u="1"/>
        <s v="19062019-0001     " u="1"/>
        <s v="144801       " u="1"/>
        <s v="1135/14342/2130   " u="1"/>
        <s v="39/19        " u="1"/>
        <s v="25/2019/25/20" u="1"/>
        <s v="78/2019      " u="1"/>
        <s v="123123            " u="1"/>
        <s v="5700183579        " u="1"/>
        <s v="1-19              " u="1"/>
        <s v="17072019-0001" u="1"/>
        <s v="02072019-0001" u="1"/>
        <s v="11345/4545/8888   " u="1"/>
        <s v="0032-BLV     " u="1"/>
        <s v="21082019-0001     " u="1"/>
        <s v="2222         " u="1"/>
        <s v="5700183582        " u="1"/>
        <s v="555/2019     " u="1"/>
        <s v="122576246    " u="1"/>
        <s v="E6-108            " u="1"/>
        <s v="6-108             " u="1"/>
        <s v="6-108-J           " u="1"/>
        <s v="13-BLV       " u="1"/>
        <s v="SDFKDMW8WW   " u="1"/>
        <s v="5700183580        " u="1"/>
        <s v="5700183590        " u="1"/>
      </sharedItems>
    </cacheField>
    <cacheField name="DBB_EMISSA2" numFmtId="0">
      <sharedItems count="59">
        <s v="20190916"/>
        <s v="20190612"/>
        <s v="20190729"/>
        <s v="20190730"/>
        <s v="20190830"/>
        <s v="20190910"/>
        <s v="20190806"/>
        <s v="20190725"/>
        <s v="20190903"/>
        <s v="20190712"/>
        <s v="20190521"/>
        <s v="20190918"/>
        <s v="20190705"/>
        <s v="20190704"/>
        <s v="20190820"/>
        <s v="20190629"/>
        <s v="20190909"/>
        <s v="20190913"/>
        <s v="20190716"/>
        <s v="20190911"/>
        <s v="20190805"/>
        <s v="20190816"/>
        <s v="20190917"/>
        <s v="20190818"/>
        <s v="20190823"/>
        <s v="20190829"/>
        <s v="20190906"/>
        <s v="20190905"/>
        <s v="20190731"/>
        <s v="20190826"/>
        <s v="20190925"/>
        <s v="20190923"/>
        <s v="20190703"/>
        <s v="20190308" u="1"/>
        <s v="20190531" u="1"/>
        <s v="20190514" u="1"/>
        <s v="20190710" u="1"/>
        <s v="20190605" u="1"/>
        <s v="20190615" u="1"/>
        <s v="20190625" u="1"/>
        <s v="20190821" u="1"/>
        <s v="20190306" u="1"/>
        <s v="20190404" u="1"/>
        <s v="20190606" u="1"/>
        <s v="20190619" u="1"/>
        <s v="20190717" u="1"/>
        <s v="20190226" u="1"/>
        <s v="20190219" u="1"/>
        <s v="20190530" u="1"/>
        <s v="20190523" u="1"/>
        <s v="20190611" u="1"/>
        <s v="20190516" u="1"/>
        <s v="20190604" u="1"/>
        <s v="20190702" u="1"/>
        <s v="20190722" u="1"/>
        <s v="20190617" u="1"/>
        <s v="20190715" u="1"/>
        <s v="20190813" u="1"/>
        <s v="20190130" u="1"/>
      </sharedItems>
    </cacheField>
    <cacheField name="DBD_DESCR" numFmtId="0">
      <sharedItems containsBlank="1" count="9">
        <m/>
        <s v="PARAGUAY                 "/>
        <s v="BRASIL                   "/>
        <s v="ECUADOR                  "/>
        <s v="URUGAY                   "/>
        <s v="DINAMARCA                "/>
        <s v="PERU                     "/>
        <s v="ARGENTINA                "/>
        <s v="ESTADOS UNIDOS           "/>
      </sharedItems>
    </cacheField>
    <cacheField name="VALMER" numFmtId="0">
      <sharedItems containsSemiMixedTypes="0" containsString="0" containsNumber="1" minValue="324.24" maxValue="248800"/>
    </cacheField>
    <cacheField name="VALFLE" numFmtId="0">
      <sharedItems containsSemiMixedTypes="0" containsString="0" containsNumber="1" minValue="0" maxValue="9940.1200000000008" count="15">
        <n v="0"/>
        <n v="2593.58"/>
        <n v="2483.2200000000003"/>
        <n v="2479.91"/>
        <n v="1021.4499999999999"/>
        <n v="2377.5499999999997"/>
        <n v="2650.0000000000005"/>
        <n v="2230.12"/>
        <n v="769.88000000000011"/>
        <n v="5640"/>
        <n v="3127.2"/>
        <n v="3430"/>
        <n v="390"/>
        <n v="9940.1200000000008"/>
        <n v="4450.08"/>
      </sharedItems>
    </cacheField>
    <cacheField name="VALSEG" numFmtId="0">
      <sharedItems containsSemiMixedTypes="0" containsString="0" containsNumber="1" minValue="0" maxValue="302.08000000000004" count="10">
        <n v="0"/>
        <n v="300.36"/>
        <n v="302.08000000000004"/>
        <n v="134.89000000000001"/>
        <n v="120.61"/>
        <n v="79.290000000000006"/>
        <n v="144.72999999999999"/>
        <n v="70"/>
        <n v="134.88"/>
        <n v="107.85000000000001"/>
      </sharedItems>
    </cacheField>
    <cacheField name="GASTO" numFmtId="0">
      <sharedItems containsSemiMixedTypes="0" containsString="0" containsNumber="1" minValue="0" maxValue="300.31" count="4">
        <n v="0"/>
        <n v="300.31"/>
        <n v="170"/>
        <n v="2.4799999999999982"/>
      </sharedItems>
    </cacheField>
    <cacheField name="VALTOT" numFmtId="0">
      <sharedItems containsSemiMixedTypes="0" containsString="0" containsNumber="1" minValue="324.24" maxValue="248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  <x v="0"/>
    <x v="0"/>
    <s v="000079"/>
    <x v="0"/>
    <x v="0"/>
    <x v="0"/>
    <x v="0"/>
    <x v="0"/>
    <n v="6518.4000000000005"/>
    <x v="0"/>
    <x v="0"/>
    <x v="0"/>
    <n v="6518.4000000000005"/>
  </r>
  <r>
    <x v="1"/>
    <x v="0"/>
    <x v="0"/>
    <x v="1"/>
    <s v="000255"/>
    <x v="1"/>
    <x v="1"/>
    <x v="1"/>
    <x v="1"/>
    <x v="0"/>
    <n v="26250"/>
    <x v="0"/>
    <x v="0"/>
    <x v="0"/>
    <n v="26250"/>
  </r>
  <r>
    <x v="2"/>
    <x v="0"/>
    <x v="0"/>
    <x v="2"/>
    <s v="000225"/>
    <x v="2"/>
    <x v="2"/>
    <x v="2"/>
    <x v="2"/>
    <x v="0"/>
    <n v="47052.969999999994"/>
    <x v="1"/>
    <x v="1"/>
    <x v="0"/>
    <n v="49946.909999999996"/>
  </r>
  <r>
    <x v="3"/>
    <x v="0"/>
    <x v="0"/>
    <x v="2"/>
    <s v="000225"/>
    <x v="2"/>
    <x v="2"/>
    <x v="3"/>
    <x v="3"/>
    <x v="0"/>
    <n v="47447.57"/>
    <x v="2"/>
    <x v="2"/>
    <x v="0"/>
    <n v="50232.87"/>
  </r>
  <r>
    <x v="4"/>
    <x v="0"/>
    <x v="0"/>
    <x v="3"/>
    <s v="000349"/>
    <x v="3"/>
    <x v="1"/>
    <x v="4"/>
    <x v="4"/>
    <x v="0"/>
    <n v="11984.939999999999"/>
    <x v="0"/>
    <x v="0"/>
    <x v="0"/>
    <n v="11984.939999999999"/>
  </r>
  <r>
    <x v="4"/>
    <x v="0"/>
    <x v="0"/>
    <x v="3"/>
    <s v="000349"/>
    <x v="3"/>
    <x v="1"/>
    <x v="5"/>
    <x v="4"/>
    <x v="0"/>
    <n v="1407.8999999999999"/>
    <x v="0"/>
    <x v="0"/>
    <x v="0"/>
    <n v="1407.8999999999999"/>
  </r>
  <r>
    <x v="4"/>
    <x v="0"/>
    <x v="0"/>
    <x v="3"/>
    <s v="000349"/>
    <x v="3"/>
    <x v="1"/>
    <x v="6"/>
    <x v="4"/>
    <x v="0"/>
    <n v="324.24"/>
    <x v="0"/>
    <x v="0"/>
    <x v="0"/>
    <n v="324.24"/>
  </r>
  <r>
    <x v="5"/>
    <x v="0"/>
    <x v="0"/>
    <x v="0"/>
    <s v="000738"/>
    <x v="4"/>
    <x v="1"/>
    <x v="7"/>
    <x v="5"/>
    <x v="0"/>
    <n v="14903"/>
    <x v="3"/>
    <x v="3"/>
    <x v="0"/>
    <n v="17517.8"/>
  </r>
  <r>
    <x v="6"/>
    <x v="0"/>
    <x v="0"/>
    <x v="3"/>
    <s v="000076"/>
    <x v="5"/>
    <x v="3"/>
    <x v="8"/>
    <x v="6"/>
    <x v="1"/>
    <n v="70404.2"/>
    <x v="0"/>
    <x v="0"/>
    <x v="0"/>
    <n v="70404.2"/>
  </r>
  <r>
    <x v="6"/>
    <x v="0"/>
    <x v="0"/>
    <x v="3"/>
    <s v="000076"/>
    <x v="5"/>
    <x v="3"/>
    <x v="9"/>
    <x v="6"/>
    <x v="1"/>
    <n v="82159.180000000008"/>
    <x v="0"/>
    <x v="0"/>
    <x v="0"/>
    <n v="82159.180000000008"/>
  </r>
  <r>
    <x v="6"/>
    <x v="0"/>
    <x v="0"/>
    <x v="3"/>
    <s v="000076"/>
    <x v="5"/>
    <x v="3"/>
    <x v="10"/>
    <x v="6"/>
    <x v="1"/>
    <n v="16151.6"/>
    <x v="0"/>
    <x v="0"/>
    <x v="0"/>
    <n v="16151.6"/>
  </r>
  <r>
    <x v="7"/>
    <x v="0"/>
    <x v="0"/>
    <x v="2"/>
    <s v="000070"/>
    <x v="6"/>
    <x v="4"/>
    <x v="11"/>
    <x v="7"/>
    <x v="2"/>
    <n v="36903.479999999996"/>
    <x v="0"/>
    <x v="0"/>
    <x v="0"/>
    <n v="36903.479999999996"/>
  </r>
  <r>
    <x v="8"/>
    <x v="0"/>
    <x v="0"/>
    <x v="0"/>
    <s v="000442"/>
    <x v="7"/>
    <x v="1"/>
    <x v="12"/>
    <x v="8"/>
    <x v="0"/>
    <n v="55230"/>
    <x v="0"/>
    <x v="0"/>
    <x v="0"/>
    <n v="55230"/>
  </r>
  <r>
    <x v="9"/>
    <x v="0"/>
    <x v="0"/>
    <x v="0"/>
    <s v="000442"/>
    <x v="7"/>
    <x v="1"/>
    <x v="13"/>
    <x v="8"/>
    <x v="0"/>
    <n v="54680"/>
    <x v="0"/>
    <x v="0"/>
    <x v="0"/>
    <n v="54680"/>
  </r>
  <r>
    <x v="10"/>
    <x v="0"/>
    <x v="0"/>
    <x v="2"/>
    <s v="000085"/>
    <x v="8"/>
    <x v="5"/>
    <x v="14"/>
    <x v="9"/>
    <x v="0"/>
    <n v="76180"/>
    <x v="0"/>
    <x v="0"/>
    <x v="0"/>
    <n v="76180"/>
  </r>
  <r>
    <x v="11"/>
    <x v="0"/>
    <x v="0"/>
    <x v="4"/>
    <s v="000085"/>
    <x v="8"/>
    <x v="5"/>
    <x v="15"/>
    <x v="10"/>
    <x v="2"/>
    <n v="76180"/>
    <x v="0"/>
    <x v="0"/>
    <x v="0"/>
    <n v="76180"/>
  </r>
  <r>
    <x v="12"/>
    <x v="0"/>
    <x v="0"/>
    <x v="3"/>
    <s v="000085"/>
    <x v="8"/>
    <x v="5"/>
    <x v="16"/>
    <x v="4"/>
    <x v="0"/>
    <n v="101380"/>
    <x v="0"/>
    <x v="0"/>
    <x v="0"/>
    <n v="101380"/>
  </r>
  <r>
    <x v="13"/>
    <x v="0"/>
    <x v="0"/>
    <x v="0"/>
    <s v="000085"/>
    <x v="8"/>
    <x v="5"/>
    <x v="17"/>
    <x v="11"/>
    <x v="0"/>
    <n v="24800"/>
    <x v="0"/>
    <x v="0"/>
    <x v="0"/>
    <n v="24800"/>
  </r>
  <r>
    <x v="14"/>
    <x v="0"/>
    <x v="0"/>
    <x v="2"/>
    <s v="000721"/>
    <x v="9"/>
    <x v="1"/>
    <x v="18"/>
    <x v="12"/>
    <x v="0"/>
    <n v="10336.319999999998"/>
    <x v="4"/>
    <x v="0"/>
    <x v="0"/>
    <n v="11357.769999999999"/>
  </r>
  <r>
    <x v="15"/>
    <x v="0"/>
    <x v="0"/>
    <x v="2"/>
    <s v="000737"/>
    <x v="10"/>
    <x v="1"/>
    <x v="19"/>
    <x v="13"/>
    <x v="0"/>
    <n v="248800"/>
    <x v="0"/>
    <x v="0"/>
    <x v="0"/>
    <n v="248800"/>
  </r>
  <r>
    <x v="16"/>
    <x v="0"/>
    <x v="0"/>
    <x v="3"/>
    <s v="000073"/>
    <x v="11"/>
    <x v="6"/>
    <x v="20"/>
    <x v="14"/>
    <x v="3"/>
    <n v="14799.060000000001"/>
    <x v="5"/>
    <x v="0"/>
    <x v="0"/>
    <n v="17176.61"/>
  </r>
  <r>
    <x v="17"/>
    <x v="0"/>
    <x v="0"/>
    <x v="1"/>
    <s v="000092"/>
    <x v="12"/>
    <x v="1"/>
    <x v="21"/>
    <x v="15"/>
    <x v="0"/>
    <n v="106570.07999999999"/>
    <x v="6"/>
    <x v="4"/>
    <x v="1"/>
    <n v="109640.99999999999"/>
  </r>
  <r>
    <x v="18"/>
    <x v="0"/>
    <x v="0"/>
    <x v="0"/>
    <s v="000067"/>
    <x v="13"/>
    <x v="7"/>
    <x v="22"/>
    <x v="16"/>
    <x v="4"/>
    <n v="45167.869999999995"/>
    <x v="7"/>
    <x v="0"/>
    <x v="0"/>
    <n v="47397.99"/>
  </r>
  <r>
    <x v="18"/>
    <x v="0"/>
    <x v="0"/>
    <x v="0"/>
    <s v="000067"/>
    <x v="13"/>
    <x v="7"/>
    <x v="23"/>
    <x v="16"/>
    <x v="4"/>
    <n v="9034.93"/>
    <x v="0"/>
    <x v="0"/>
    <x v="0"/>
    <n v="9034.93"/>
  </r>
  <r>
    <x v="18"/>
    <x v="0"/>
    <x v="0"/>
    <x v="0"/>
    <s v="000067"/>
    <x v="13"/>
    <x v="7"/>
    <x v="24"/>
    <x v="16"/>
    <x v="4"/>
    <n v="15594.25"/>
    <x v="8"/>
    <x v="0"/>
    <x v="0"/>
    <n v="16364.130000000001"/>
  </r>
  <r>
    <x v="18"/>
    <x v="0"/>
    <x v="0"/>
    <x v="0"/>
    <s v="000067"/>
    <x v="13"/>
    <x v="7"/>
    <x v="25"/>
    <x v="16"/>
    <x v="4"/>
    <n v="3117.75"/>
    <x v="0"/>
    <x v="0"/>
    <x v="0"/>
    <n v="3117.75"/>
  </r>
  <r>
    <x v="19"/>
    <x v="0"/>
    <x v="0"/>
    <x v="0"/>
    <s v="000072"/>
    <x v="14"/>
    <x v="8"/>
    <x v="26"/>
    <x v="17"/>
    <x v="5"/>
    <n v="42246"/>
    <x v="9"/>
    <x v="5"/>
    <x v="2"/>
    <n v="48135.29"/>
  </r>
  <r>
    <x v="20"/>
    <x v="0"/>
    <x v="0"/>
    <x v="0"/>
    <s v="000072"/>
    <x v="14"/>
    <x v="8"/>
    <x v="27"/>
    <x v="8"/>
    <x v="0"/>
    <n v="84492"/>
    <x v="10"/>
    <x v="6"/>
    <x v="2"/>
    <n v="87933.93"/>
  </r>
  <r>
    <x v="21"/>
    <x v="0"/>
    <x v="0"/>
    <x v="2"/>
    <s v="000211"/>
    <x v="15"/>
    <x v="1"/>
    <x v="28"/>
    <x v="18"/>
    <x v="2"/>
    <n v="9215.64"/>
    <x v="0"/>
    <x v="0"/>
    <x v="0"/>
    <n v="9215.64"/>
  </r>
  <r>
    <x v="22"/>
    <x v="0"/>
    <x v="0"/>
    <x v="0"/>
    <s v="000262"/>
    <x v="16"/>
    <x v="9"/>
    <x v="29"/>
    <x v="19"/>
    <x v="0"/>
    <n v="16064.76"/>
    <x v="0"/>
    <x v="0"/>
    <x v="0"/>
    <n v="16064.76"/>
  </r>
  <r>
    <x v="23"/>
    <x v="0"/>
    <x v="0"/>
    <x v="3"/>
    <s v="000173"/>
    <x v="17"/>
    <x v="10"/>
    <x v="30"/>
    <x v="20"/>
    <x v="6"/>
    <n v="18319.599999999999"/>
    <x v="0"/>
    <x v="0"/>
    <x v="0"/>
    <n v="18319.599999999999"/>
  </r>
  <r>
    <x v="23"/>
    <x v="0"/>
    <x v="0"/>
    <x v="3"/>
    <s v="000173"/>
    <x v="17"/>
    <x v="10"/>
    <x v="31"/>
    <x v="20"/>
    <x v="6"/>
    <n v="25829.5"/>
    <x v="0"/>
    <x v="0"/>
    <x v="0"/>
    <n v="25829.5"/>
  </r>
  <r>
    <x v="23"/>
    <x v="0"/>
    <x v="0"/>
    <x v="0"/>
    <s v="000173"/>
    <x v="17"/>
    <x v="10"/>
    <x v="32"/>
    <x v="5"/>
    <x v="6"/>
    <n v="14353.44"/>
    <x v="0"/>
    <x v="0"/>
    <x v="0"/>
    <n v="14353.44"/>
  </r>
  <r>
    <x v="24"/>
    <x v="0"/>
    <x v="0"/>
    <x v="0"/>
    <s v="000060"/>
    <x v="18"/>
    <x v="11"/>
    <x v="33"/>
    <x v="5"/>
    <x v="0"/>
    <n v="66669.53"/>
    <x v="0"/>
    <x v="0"/>
    <x v="0"/>
    <n v="66669.53"/>
  </r>
  <r>
    <x v="25"/>
    <x v="0"/>
    <x v="0"/>
    <x v="3"/>
    <s v="000349"/>
    <x v="3"/>
    <x v="1"/>
    <x v="34"/>
    <x v="21"/>
    <x v="0"/>
    <n v="11180.800000000001"/>
    <x v="0"/>
    <x v="0"/>
    <x v="0"/>
    <n v="11180.800000000001"/>
  </r>
  <r>
    <x v="26"/>
    <x v="0"/>
    <x v="0"/>
    <x v="0"/>
    <s v="000079"/>
    <x v="0"/>
    <x v="0"/>
    <x v="35"/>
    <x v="17"/>
    <x v="0"/>
    <n v="52119.539999999994"/>
    <x v="0"/>
    <x v="0"/>
    <x v="0"/>
    <n v="52119.539999999994"/>
  </r>
  <r>
    <x v="27"/>
    <x v="0"/>
    <x v="0"/>
    <x v="0"/>
    <s v="000067"/>
    <x v="13"/>
    <x v="7"/>
    <x v="36"/>
    <x v="0"/>
    <x v="0"/>
    <n v="45528.25"/>
    <x v="0"/>
    <x v="0"/>
    <x v="0"/>
    <n v="45528.25"/>
  </r>
  <r>
    <x v="27"/>
    <x v="0"/>
    <x v="0"/>
    <x v="0"/>
    <s v="000067"/>
    <x v="13"/>
    <x v="7"/>
    <x v="37"/>
    <x v="0"/>
    <x v="0"/>
    <n v="4589.75"/>
    <x v="0"/>
    <x v="0"/>
    <x v="0"/>
    <n v="4589.75"/>
  </r>
  <r>
    <x v="28"/>
    <x v="0"/>
    <x v="0"/>
    <x v="0"/>
    <s v="000071"/>
    <x v="19"/>
    <x v="12"/>
    <x v="38"/>
    <x v="17"/>
    <x v="0"/>
    <n v="81503.000000000015"/>
    <x v="0"/>
    <x v="0"/>
    <x v="0"/>
    <n v="81503.000000000015"/>
  </r>
  <r>
    <x v="29"/>
    <x v="0"/>
    <x v="0"/>
    <x v="0"/>
    <s v="000066"/>
    <x v="20"/>
    <x v="13"/>
    <x v="39"/>
    <x v="22"/>
    <x v="0"/>
    <n v="35350"/>
    <x v="0"/>
    <x v="0"/>
    <x v="0"/>
    <n v="35350"/>
  </r>
  <r>
    <x v="30"/>
    <x v="0"/>
    <x v="0"/>
    <x v="0"/>
    <s v="000201"/>
    <x v="21"/>
    <x v="14"/>
    <x v="40"/>
    <x v="0"/>
    <x v="7"/>
    <n v="44100"/>
    <x v="0"/>
    <x v="0"/>
    <x v="0"/>
    <n v="44100"/>
  </r>
  <r>
    <x v="31"/>
    <x v="0"/>
    <x v="0"/>
    <x v="3"/>
    <s v="000201"/>
    <x v="21"/>
    <x v="14"/>
    <x v="41"/>
    <x v="23"/>
    <x v="0"/>
    <n v="30326.400000000001"/>
    <x v="0"/>
    <x v="0"/>
    <x v="0"/>
    <n v="30326.400000000001"/>
  </r>
  <r>
    <x v="31"/>
    <x v="0"/>
    <x v="0"/>
    <x v="0"/>
    <s v="000201"/>
    <x v="21"/>
    <x v="14"/>
    <x v="42"/>
    <x v="11"/>
    <x v="0"/>
    <n v="4269.3"/>
    <x v="0"/>
    <x v="0"/>
    <x v="0"/>
    <n v="4269.3"/>
  </r>
  <r>
    <x v="31"/>
    <x v="0"/>
    <x v="0"/>
    <x v="0"/>
    <s v="000201"/>
    <x v="21"/>
    <x v="14"/>
    <x v="43"/>
    <x v="11"/>
    <x v="0"/>
    <n v="19948.5"/>
    <x v="0"/>
    <x v="0"/>
    <x v="0"/>
    <n v="19948.5"/>
  </r>
  <r>
    <x v="32"/>
    <x v="0"/>
    <x v="0"/>
    <x v="0"/>
    <s v="000070"/>
    <x v="6"/>
    <x v="4"/>
    <x v="44"/>
    <x v="22"/>
    <x v="0"/>
    <n v="48024.97"/>
    <x v="0"/>
    <x v="0"/>
    <x v="0"/>
    <n v="48024.97"/>
  </r>
  <r>
    <x v="33"/>
    <x v="0"/>
    <x v="0"/>
    <x v="3"/>
    <s v="000108"/>
    <x v="22"/>
    <x v="15"/>
    <x v="45"/>
    <x v="24"/>
    <x v="7"/>
    <n v="43968.75"/>
    <x v="0"/>
    <x v="0"/>
    <x v="0"/>
    <n v="43968.75"/>
  </r>
  <r>
    <x v="34"/>
    <x v="0"/>
    <x v="0"/>
    <x v="0"/>
    <s v="000343"/>
    <x v="23"/>
    <x v="1"/>
    <x v="46"/>
    <x v="0"/>
    <x v="0"/>
    <n v="23856"/>
    <x v="11"/>
    <x v="7"/>
    <x v="0"/>
    <n v="27356"/>
  </r>
  <r>
    <x v="35"/>
    <x v="0"/>
    <x v="0"/>
    <x v="0"/>
    <s v="000060"/>
    <x v="18"/>
    <x v="11"/>
    <x v="47"/>
    <x v="17"/>
    <x v="0"/>
    <n v="43984.9"/>
    <x v="0"/>
    <x v="0"/>
    <x v="0"/>
    <n v="43984.9"/>
  </r>
  <r>
    <x v="36"/>
    <x v="0"/>
    <x v="0"/>
    <x v="3"/>
    <s v="002440"/>
    <x v="24"/>
    <x v="1"/>
    <x v="48"/>
    <x v="25"/>
    <x v="2"/>
    <n v="8872.7000000000007"/>
    <x v="12"/>
    <x v="0"/>
    <x v="0"/>
    <n v="9262.7000000000007"/>
  </r>
  <r>
    <x v="37"/>
    <x v="0"/>
    <x v="0"/>
    <x v="0"/>
    <s v="000274"/>
    <x v="25"/>
    <x v="16"/>
    <x v="49"/>
    <x v="26"/>
    <x v="0"/>
    <n v="24681.599999999999"/>
    <x v="0"/>
    <x v="0"/>
    <x v="0"/>
    <n v="24681.599999999999"/>
  </r>
  <r>
    <x v="38"/>
    <x v="0"/>
    <x v="0"/>
    <x v="0"/>
    <s v="000274"/>
    <x v="25"/>
    <x v="16"/>
    <x v="50"/>
    <x v="26"/>
    <x v="0"/>
    <n v="22559.399999999998"/>
    <x v="0"/>
    <x v="0"/>
    <x v="0"/>
    <n v="22559.399999999998"/>
  </r>
  <r>
    <x v="39"/>
    <x v="0"/>
    <x v="0"/>
    <x v="0"/>
    <s v="000872"/>
    <x v="26"/>
    <x v="1"/>
    <x v="51"/>
    <x v="27"/>
    <x v="7"/>
    <n v="47362.19"/>
    <x v="0"/>
    <x v="0"/>
    <x v="0"/>
    <n v="47362.19"/>
  </r>
  <r>
    <x v="40"/>
    <x v="0"/>
    <x v="0"/>
    <x v="2"/>
    <s v="000227"/>
    <x v="27"/>
    <x v="17"/>
    <x v="52"/>
    <x v="28"/>
    <x v="7"/>
    <n v="31574"/>
    <x v="0"/>
    <x v="0"/>
    <x v="0"/>
    <n v="31574"/>
  </r>
  <r>
    <x v="41"/>
    <x v="0"/>
    <x v="0"/>
    <x v="3"/>
    <s v="000201"/>
    <x v="21"/>
    <x v="14"/>
    <x v="53"/>
    <x v="4"/>
    <x v="0"/>
    <n v="68120"/>
    <x v="13"/>
    <x v="8"/>
    <x v="0"/>
    <n v="78195"/>
  </r>
  <r>
    <x v="42"/>
    <x v="0"/>
    <x v="0"/>
    <x v="0"/>
    <s v="000063"/>
    <x v="28"/>
    <x v="18"/>
    <x v="54"/>
    <x v="26"/>
    <x v="0"/>
    <n v="15695.4"/>
    <x v="0"/>
    <x v="0"/>
    <x v="0"/>
    <n v="15695.4"/>
  </r>
  <r>
    <x v="43"/>
    <x v="0"/>
    <x v="0"/>
    <x v="3"/>
    <s v="000789"/>
    <x v="29"/>
    <x v="1"/>
    <x v="55"/>
    <x v="29"/>
    <x v="2"/>
    <n v="27075.62"/>
    <x v="0"/>
    <x v="0"/>
    <x v="0"/>
    <n v="27075.62"/>
  </r>
  <r>
    <x v="44"/>
    <x v="0"/>
    <x v="0"/>
    <x v="3"/>
    <s v="000201"/>
    <x v="21"/>
    <x v="14"/>
    <x v="56"/>
    <x v="4"/>
    <x v="2"/>
    <n v="208161.9"/>
    <x v="0"/>
    <x v="0"/>
    <x v="0"/>
    <n v="208161.9"/>
  </r>
  <r>
    <x v="45"/>
    <x v="0"/>
    <x v="0"/>
    <x v="0"/>
    <s v="000065"/>
    <x v="30"/>
    <x v="19"/>
    <x v="57"/>
    <x v="30"/>
    <x v="0"/>
    <n v="63576.600000000006"/>
    <x v="0"/>
    <x v="0"/>
    <x v="3"/>
    <n v="63579.080000000009"/>
  </r>
  <r>
    <x v="46"/>
    <x v="0"/>
    <x v="0"/>
    <x v="0"/>
    <s v="000279"/>
    <x v="31"/>
    <x v="20"/>
    <x v="58"/>
    <x v="16"/>
    <x v="0"/>
    <n v="42218.75"/>
    <x v="0"/>
    <x v="0"/>
    <x v="0"/>
    <n v="42218.75"/>
  </r>
  <r>
    <x v="47"/>
    <x v="0"/>
    <x v="0"/>
    <x v="0"/>
    <s v="000201"/>
    <x v="21"/>
    <x v="14"/>
    <x v="59"/>
    <x v="31"/>
    <x v="8"/>
    <n v="54470"/>
    <x v="14"/>
    <x v="9"/>
    <x v="0"/>
    <n v="59027.93"/>
  </r>
  <r>
    <x v="48"/>
    <x v="0"/>
    <x v="0"/>
    <x v="0"/>
    <s v="000255"/>
    <x v="1"/>
    <x v="1"/>
    <x v="60"/>
    <x v="11"/>
    <x v="0"/>
    <n v="52500"/>
    <x v="0"/>
    <x v="0"/>
    <x v="0"/>
    <n v="52500"/>
  </r>
  <r>
    <x v="49"/>
    <x v="0"/>
    <x v="0"/>
    <x v="2"/>
    <s v="000185"/>
    <x v="32"/>
    <x v="21"/>
    <x v="61"/>
    <x v="32"/>
    <x v="0"/>
    <n v="14316.5"/>
    <x v="0"/>
    <x v="0"/>
    <x v="0"/>
    <n v="1431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3B75B-B605-4CCB-8327-BF4F145B34F9}" name="TablaDinámica3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 fieldListSortAscending="1">
  <location ref="A5:K14" firstHeaderRow="1" firstDataRow="2" firstDataCol="6" rowPageCount="3" colPageCount="1"/>
  <pivotFields count="15">
    <pivotField axis="axisRow" compact="0" outline="0" showAll="0" defaultSubtotal="0">
      <items count="90">
        <item m="1" x="76"/>
        <item m="1" x="69"/>
        <item m="1" x="72"/>
        <item m="1" x="68"/>
        <item m="1" x="65"/>
        <item m="1" x="64"/>
        <item m="1" x="61"/>
        <item m="1" x="57"/>
        <item m="1" x="55"/>
        <item m="1" x="53"/>
        <item m="1" x="51"/>
        <item m="1" x="88"/>
        <item m="1" x="87"/>
        <item m="1" x="83"/>
        <item m="1" x="80"/>
        <item m="1" x="63"/>
        <item m="1" x="60"/>
        <item m="1" x="62"/>
        <item m="1" x="59"/>
        <item m="1" x="56"/>
        <item m="1" x="54"/>
        <item m="1" x="52"/>
        <item m="1" x="89"/>
        <item m="1" x="86"/>
        <item m="1" x="84"/>
        <item m="1" x="82"/>
        <item m="1" x="79"/>
        <item m="1" x="77"/>
        <item m="1" x="70"/>
        <item m="1" x="67"/>
        <item m="1" x="58"/>
        <item m="1" x="73"/>
        <item m="1" x="66"/>
        <item m="1" x="50"/>
        <item m="1" x="74"/>
        <item m="1" x="71"/>
        <item m="1" x="78"/>
        <item m="1" x="81"/>
        <item m="1" x="85"/>
        <item m="1" x="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10">
        <item m="1" x="5"/>
        <item m="1" x="6"/>
        <item m="1" x="7"/>
        <item m="1" x="8"/>
        <item x="4"/>
        <item x="1"/>
        <item x="2"/>
        <item x="3"/>
        <item x="0"/>
        <item t="default"/>
      </items>
    </pivotField>
    <pivotField compact="0" outline="0" showAll="0"/>
    <pivotField axis="axisRow" compact="0" outline="0" showAll="0" defaultSubtotal="0">
      <items count="51">
        <item h="1" m="1" x="41"/>
        <item h="1" m="1" x="40"/>
        <item h="1" m="1" x="45"/>
        <item h="1" m="1" x="39"/>
        <item h="1" m="1" x="34"/>
        <item h="1" m="1" x="35"/>
        <item h="1" m="1" x="50"/>
        <item h="1" m="1" x="43"/>
        <item h="1" m="1" x="47"/>
        <item h="1" m="1" x="48"/>
        <item h="1" m="1" x="49"/>
        <item h="1" m="1" x="44"/>
        <item h="1" m="1" x="42"/>
        <item h="1" m="1" x="38"/>
        <item h="1" m="1" x="37"/>
        <item h="1" m="1" x="36"/>
        <item h="1" m="1" x="46"/>
        <item m="1" x="33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</items>
    </pivotField>
    <pivotField axis="axisRow" compact="0" outline="0" showAll="0" defaultSubtotal="0">
      <items count="29">
        <item x="12"/>
        <item m="1" x="26"/>
        <item m="1" x="23"/>
        <item m="1" x="24"/>
        <item x="8"/>
        <item x="2"/>
        <item x="16"/>
        <item m="1" x="22"/>
        <item x="6"/>
        <item x="7"/>
        <item x="14"/>
        <item m="1" x="25"/>
        <item x="5"/>
        <item m="1" x="27"/>
        <item m="1" x="28"/>
        <item x="0"/>
        <item x="1"/>
        <item x="3"/>
        <item x="4"/>
        <item x="9"/>
        <item x="10"/>
        <item x="11"/>
        <item x="13"/>
        <item x="15"/>
        <item x="17"/>
        <item x="18"/>
        <item x="19"/>
        <item x="20"/>
        <item x="21"/>
      </items>
    </pivotField>
    <pivotField axis="axisRow" compact="0" outline="0" showAll="0" defaultSubtotal="0">
      <items count="109">
        <item m="1" x="96"/>
        <item m="1" x="94"/>
        <item m="1" x="73"/>
        <item m="1" x="71"/>
        <item m="1" x="69"/>
        <item m="1" x="66"/>
        <item m="1" x="64"/>
        <item m="1" x="76"/>
        <item m="1" x="95"/>
        <item m="1" x="86"/>
        <item m="1" x="92"/>
        <item m="1" x="101"/>
        <item m="1" x="72"/>
        <item m="1" x="74"/>
        <item m="1" x="75"/>
        <item m="1" x="90"/>
        <item m="1" x="105"/>
        <item m="1" x="63"/>
        <item m="1" x="85"/>
        <item m="1" x="70"/>
        <item m="1" x="83"/>
        <item m="1" x="93"/>
        <item m="1" x="84"/>
        <item m="1" x="97"/>
        <item m="1" x="81"/>
        <item m="1" x="98"/>
        <item m="1" x="67"/>
        <item m="1" x="88"/>
        <item m="1" x="80"/>
        <item m="1" x="87"/>
        <item m="1" x="82"/>
        <item m="1" x="77"/>
        <item m="1" x="100"/>
        <item m="1" x="62"/>
        <item m="1" x="91"/>
        <item m="1" x="107"/>
        <item m="1" x="99"/>
        <item m="1" x="108"/>
        <item m="1" x="103"/>
        <item m="1" x="104"/>
        <item m="1" x="79"/>
        <item m="1" x="68"/>
        <item m="1" x="89"/>
        <item m="1" x="65"/>
        <item m="1" x="102"/>
        <item m="1" x="78"/>
        <item m="1" x="10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axis="axisRow" compact="0" outline="0" showAll="0" defaultSubtotal="0">
      <items count="59">
        <item m="1" x="58"/>
        <item m="1" x="47"/>
        <item m="1" x="46"/>
        <item m="1" x="41"/>
        <item m="1" x="33"/>
        <item m="1" x="42"/>
        <item m="1" x="35"/>
        <item m="1" x="51"/>
        <item x="10"/>
        <item m="1" x="49"/>
        <item m="1" x="48"/>
        <item m="1" x="34"/>
        <item m="1" x="52"/>
        <item m="1" x="37"/>
        <item m="1" x="43"/>
        <item m="1" x="50"/>
        <item m="1" x="38"/>
        <item m="1" x="55"/>
        <item m="1" x="44"/>
        <item m="1" x="39"/>
        <item m="1" x="53"/>
        <item x="32"/>
        <item x="13"/>
        <item x="12"/>
        <item m="1" x="36"/>
        <item m="1" x="56"/>
        <item x="18"/>
        <item m="1" x="45"/>
        <item m="1" x="54"/>
        <item x="2"/>
        <item m="1" x="57"/>
        <item m="1" x="40"/>
        <item x="0"/>
        <item x="1"/>
        <item x="3"/>
        <item x="4"/>
        <item x="5"/>
        <item x="6"/>
        <item x="7"/>
        <item x="8"/>
        <item x="9"/>
        <item x="11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outline="0" showAll="0" defaultSubtotal="0">
      <items count="9">
        <item x="2"/>
        <item x="4"/>
        <item x="0"/>
        <item x="1"/>
        <item x="3"/>
        <item x="7"/>
        <item x="5"/>
        <item x="6"/>
        <item x="8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6">
    <field x="0"/>
    <field x="5"/>
    <field x="6"/>
    <field x="7"/>
    <field x="8"/>
    <field x="9"/>
  </rowFields>
  <rowItems count="8">
    <i>
      <x v="70"/>
      <x v="39"/>
      <x v="10"/>
      <x v="87"/>
      <x v="32"/>
      <x v="5"/>
    </i>
    <i>
      <x v="71"/>
      <x v="39"/>
      <x v="10"/>
      <x v="88"/>
      <x v="50"/>
      <x v="2"/>
    </i>
    <i r="3">
      <x v="89"/>
      <x v="41"/>
      <x v="2"/>
    </i>
    <i r="3">
      <x v="90"/>
      <x v="41"/>
      <x v="2"/>
    </i>
    <i>
      <x v="81"/>
      <x v="39"/>
      <x v="10"/>
      <x v="100"/>
      <x v="35"/>
      <x v="2"/>
    </i>
    <i>
      <x v="84"/>
      <x v="39"/>
      <x v="10"/>
      <x v="103"/>
      <x v="35"/>
      <x/>
    </i>
    <i>
      <x v="87"/>
      <x v="39"/>
      <x v="10"/>
      <x v="106"/>
      <x v="58"/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-1"/>
    <pageField fld="2" hier="-1"/>
    <pageField fld="3" hier="-1"/>
  </pageFields>
  <dataFields count="5">
    <dataField name="Suma de VALMER" fld="10" baseField="0" baseItem="0"/>
    <dataField name="Suma de GASTO" fld="13" baseField="0" baseItem="0"/>
    <dataField name="Suma de VALFLE" fld="11" baseField="0" baseItem="0"/>
    <dataField name="Suma de VALSEG" fld="12" baseField="0" baseItem="0"/>
    <dataField name="Suma de VALTOT" fld="14" baseField="0" baseItem="0"/>
  </dataFields>
  <formats count="1">
    <format dxfId="1">
      <pivotArea outline="0" fieldPosition="0">
        <references count="7">
          <reference field="4294967294" count="1" selected="0">
            <x v="0"/>
          </reference>
          <reference field="0" count="1" selected="0">
            <x v="84"/>
          </reference>
          <reference field="5" count="0" selected="0"/>
          <reference field="6" count="1" selected="0">
            <x v="10"/>
          </reference>
          <reference field="7" count="1" selected="0">
            <x v="103"/>
          </reference>
          <reference field="8" count="1" selected="0">
            <x v="35"/>
          </reference>
          <reference field="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D59E-E6A9-4311-B601-BC723E37F1E2}">
  <dimension ref="A1:K14"/>
  <sheetViews>
    <sheetView tabSelected="1" workbookViewId="0">
      <selection activeCell="B10" sqref="B10"/>
    </sheetView>
  </sheetViews>
  <sheetFormatPr baseColWidth="10" defaultRowHeight="15" x14ac:dyDescent="0.25"/>
  <cols>
    <col min="1" max="1" width="12.28515625" customWidth="1"/>
    <col min="2" max="2" width="23.28515625" customWidth="1"/>
    <col min="3" max="3" width="8.7109375" customWidth="1"/>
    <col min="4" max="4" width="17" bestFit="1" customWidth="1"/>
    <col min="5" max="5" width="13.5703125" customWidth="1"/>
    <col min="6" max="6" width="21.42578125" bestFit="1" customWidth="1"/>
    <col min="7" max="7" width="16.5703125" bestFit="1" customWidth="1"/>
    <col min="8" max="8" width="15.140625" bestFit="1" customWidth="1"/>
    <col min="9" max="9" width="15.28515625" bestFit="1" customWidth="1"/>
    <col min="10" max="11" width="15.85546875" bestFit="1" customWidth="1"/>
    <col min="12" max="12" width="9.7109375" bestFit="1" customWidth="1"/>
    <col min="13" max="13" width="9" bestFit="1" customWidth="1"/>
    <col min="14" max="14" width="9.85546875" bestFit="1" customWidth="1"/>
  </cols>
  <sheetData>
    <row r="1" spans="1:11" x14ac:dyDescent="0.25">
      <c r="A1" s="2" t="s">
        <v>0</v>
      </c>
      <c r="B1" t="s">
        <v>9</v>
      </c>
    </row>
    <row r="2" spans="1:11" x14ac:dyDescent="0.25">
      <c r="A2" s="2" t="s">
        <v>1</v>
      </c>
      <c r="B2" t="s">
        <v>9</v>
      </c>
      <c r="D2" s="1"/>
      <c r="E2" s="1"/>
      <c r="F2" s="1"/>
      <c r="G2" s="1"/>
      <c r="H2" s="1"/>
      <c r="I2" s="1"/>
    </row>
    <row r="3" spans="1:11" x14ac:dyDescent="0.25">
      <c r="A3" s="2" t="s">
        <v>2</v>
      </c>
      <c r="B3" t="s">
        <v>9</v>
      </c>
    </row>
    <row r="5" spans="1:11" x14ac:dyDescent="0.25">
      <c r="G5" s="2" t="s">
        <v>15</v>
      </c>
    </row>
    <row r="6" spans="1:11" x14ac:dyDescent="0.25">
      <c r="A6" s="2" t="s">
        <v>11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t="s">
        <v>17</v>
      </c>
      <c r="H6" t="s">
        <v>14</v>
      </c>
      <c r="I6" t="s">
        <v>16</v>
      </c>
      <c r="J6" t="s">
        <v>18</v>
      </c>
      <c r="K6" t="s">
        <v>13</v>
      </c>
    </row>
    <row r="7" spans="1:11" x14ac:dyDescent="0.25">
      <c r="A7" t="s">
        <v>23</v>
      </c>
      <c r="B7" t="s">
        <v>24</v>
      </c>
      <c r="C7" t="s">
        <v>10</v>
      </c>
      <c r="D7" t="s">
        <v>25</v>
      </c>
      <c r="E7" t="s">
        <v>20</v>
      </c>
      <c r="F7" t="s">
        <v>26</v>
      </c>
      <c r="G7" s="1">
        <v>44100</v>
      </c>
      <c r="H7" s="1">
        <v>0</v>
      </c>
      <c r="I7" s="1">
        <v>0</v>
      </c>
      <c r="J7" s="1">
        <v>0</v>
      </c>
      <c r="K7" s="1">
        <v>44100</v>
      </c>
    </row>
    <row r="8" spans="1:11" x14ac:dyDescent="0.25">
      <c r="A8" t="s">
        <v>27</v>
      </c>
      <c r="B8" t="s">
        <v>24</v>
      </c>
      <c r="C8" t="s">
        <v>10</v>
      </c>
      <c r="D8" t="s">
        <v>28</v>
      </c>
      <c r="E8" t="s">
        <v>29</v>
      </c>
      <c r="F8" t="s">
        <v>12</v>
      </c>
      <c r="G8" s="1">
        <v>30326.400000000001</v>
      </c>
      <c r="H8" s="1">
        <v>0</v>
      </c>
      <c r="I8" s="1">
        <v>0</v>
      </c>
      <c r="J8" s="1">
        <v>0</v>
      </c>
      <c r="K8" s="1">
        <v>30326.400000000001</v>
      </c>
    </row>
    <row r="9" spans="1:11" x14ac:dyDescent="0.25">
      <c r="D9" t="s">
        <v>30</v>
      </c>
      <c r="E9" t="s">
        <v>22</v>
      </c>
      <c r="F9" t="s">
        <v>12</v>
      </c>
      <c r="G9" s="1">
        <v>4269.3</v>
      </c>
      <c r="H9" s="1">
        <v>0</v>
      </c>
      <c r="I9" s="1">
        <v>0</v>
      </c>
      <c r="J9" s="1">
        <v>0</v>
      </c>
      <c r="K9" s="1">
        <v>4269.3</v>
      </c>
    </row>
    <row r="10" spans="1:11" x14ac:dyDescent="0.25">
      <c r="D10" t="s">
        <v>31</v>
      </c>
      <c r="E10" t="s">
        <v>22</v>
      </c>
      <c r="F10" t="s">
        <v>12</v>
      </c>
      <c r="G10" s="1">
        <v>19948.5</v>
      </c>
      <c r="H10" s="1">
        <v>0</v>
      </c>
      <c r="I10" s="1">
        <v>0</v>
      </c>
      <c r="J10" s="1">
        <v>0</v>
      </c>
      <c r="K10" s="1">
        <v>19948.5</v>
      </c>
    </row>
    <row r="11" spans="1:11" x14ac:dyDescent="0.25">
      <c r="A11" t="s">
        <v>32</v>
      </c>
      <c r="B11" t="s">
        <v>24</v>
      </c>
      <c r="C11" t="s">
        <v>10</v>
      </c>
      <c r="D11" t="s">
        <v>33</v>
      </c>
      <c r="E11" t="s">
        <v>21</v>
      </c>
      <c r="F11" t="s">
        <v>12</v>
      </c>
      <c r="G11" s="1">
        <v>68120</v>
      </c>
      <c r="H11" s="1">
        <v>0</v>
      </c>
      <c r="I11" s="1">
        <v>9940.1200000000008</v>
      </c>
      <c r="J11" s="1">
        <v>134.88</v>
      </c>
      <c r="K11" s="1">
        <v>78195</v>
      </c>
    </row>
    <row r="12" spans="1:11" x14ac:dyDescent="0.25">
      <c r="A12" t="s">
        <v>34</v>
      </c>
      <c r="B12" t="s">
        <v>24</v>
      </c>
      <c r="C12" t="s">
        <v>10</v>
      </c>
      <c r="D12" t="s">
        <v>35</v>
      </c>
      <c r="E12" t="s">
        <v>21</v>
      </c>
      <c r="F12" t="s">
        <v>8</v>
      </c>
      <c r="G12" s="3">
        <v>208161.9</v>
      </c>
      <c r="H12" s="1">
        <v>0</v>
      </c>
      <c r="I12" s="1">
        <v>0</v>
      </c>
      <c r="J12" s="1">
        <v>0</v>
      </c>
      <c r="K12" s="1">
        <v>208161.9</v>
      </c>
    </row>
    <row r="13" spans="1:11" x14ac:dyDescent="0.25">
      <c r="A13" t="s">
        <v>36</v>
      </c>
      <c r="B13" t="s">
        <v>24</v>
      </c>
      <c r="C13" t="s">
        <v>10</v>
      </c>
      <c r="D13" t="s">
        <v>37</v>
      </c>
      <c r="E13" t="s">
        <v>38</v>
      </c>
      <c r="F13" t="s">
        <v>39</v>
      </c>
      <c r="G13" s="1">
        <v>54470</v>
      </c>
      <c r="H13" s="1">
        <v>0</v>
      </c>
      <c r="I13" s="1">
        <v>4450.08</v>
      </c>
      <c r="J13" s="1">
        <v>107.85000000000001</v>
      </c>
      <c r="K13" s="1">
        <v>59027.93</v>
      </c>
    </row>
    <row r="14" spans="1:11" x14ac:dyDescent="0.25">
      <c r="A14" t="s">
        <v>19</v>
      </c>
      <c r="G14" s="1">
        <v>429396.1</v>
      </c>
      <c r="H14" s="1">
        <v>0</v>
      </c>
      <c r="I14" s="1">
        <v>14390.2</v>
      </c>
      <c r="J14" s="1">
        <v>242.73000000000002</v>
      </c>
      <c r="K14" s="1">
        <v>444029.02999999997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05328-8290-4B4F-A19A-F55BD19BE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ETCHEVERRY-PC</dc:creator>
  <cp:lastModifiedBy>Desiree Valenzuela</cp:lastModifiedBy>
  <dcterms:created xsi:type="dcterms:W3CDTF">2019-09-02T14:36:52Z</dcterms:created>
  <dcterms:modified xsi:type="dcterms:W3CDTF">2019-10-18T13:01:12Z</dcterms:modified>
</cp:coreProperties>
</file>